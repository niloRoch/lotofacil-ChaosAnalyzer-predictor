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Nilo\Desktop\"/>
    </mc:Choice>
  </mc:AlternateContent>
  <xr:revisionPtr revIDLastSave="0" documentId="13_ncr:1_{A4F3FADF-F0CB-4655-A2BC-BC9B7800D04A}" xr6:coauthVersionLast="47" xr6:coauthVersionMax="47" xr10:uidLastSave="{00000000-0000-0000-0000-000000000000}"/>
  <bookViews>
    <workbookView xWindow="-120" yWindow="-120" windowWidth="38640" windowHeight="15720" activeTab="1" xr2:uid="{CFFA34FB-2DB6-423D-8E2E-C94F5F347C83}"/>
  </bookViews>
  <sheets>
    <sheet name="Conferidor" sheetId="1" r:id="rId1"/>
    <sheet name="historico " sheetId="5" r:id="rId2"/>
    <sheet name="API" sheetId="4" r:id="rId3"/>
  </sheets>
  <definedNames>
    <definedName name="DadosExternos_2" localSheetId="2" hidden="1">API!$A$1:$A$16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2" i="5" l="1"/>
  <c r="K32" i="5"/>
  <c r="L32" i="5"/>
  <c r="B32" i="5"/>
  <c r="C32" i="5"/>
  <c r="D32" i="5"/>
  <c r="E32" i="5"/>
  <c r="F32" i="5"/>
  <c r="G32" i="5"/>
  <c r="H32" i="5"/>
  <c r="I32" i="5"/>
  <c r="C30" i="5"/>
  <c r="D30" i="5"/>
  <c r="E30" i="5"/>
  <c r="F30" i="5"/>
  <c r="G30" i="5"/>
  <c r="H30" i="5"/>
  <c r="I30" i="5"/>
  <c r="J30" i="5"/>
  <c r="B30" i="5"/>
  <c r="C1" i="4" a="1"/>
  <c r="C1" i="4" l="1"/>
  <c r="B5" i="1" s="1"/>
  <c r="C5" i="1"/>
  <c r="F5" i="1"/>
  <c r="H5" i="1"/>
  <c r="K5" i="1"/>
  <c r="M5" i="1"/>
  <c r="O5" i="1"/>
  <c r="D5" i="1"/>
  <c r="E5" i="1"/>
  <c r="G5" i="1"/>
  <c r="I5" i="1"/>
  <c r="J5" i="1"/>
  <c r="L5" i="1"/>
  <c r="N5" i="1"/>
  <c r="P5" i="1"/>
  <c r="U19" i="1" l="1" a="1"/>
  <c r="U19" i="1" s="1"/>
  <c r="U18" i="1" a="1"/>
  <c r="U18" i="1" s="1"/>
  <c r="U8" i="1" a="1"/>
  <c r="U8" i="1" s="1"/>
  <c r="U12" i="1" a="1"/>
  <c r="U12" i="1" s="1"/>
  <c r="U13" i="1" a="1"/>
  <c r="U13" i="1" s="1"/>
  <c r="U14" i="1" a="1"/>
  <c r="U14" i="1" s="1"/>
  <c r="U15" i="1" a="1"/>
  <c r="U15" i="1" s="1"/>
  <c r="U16" i="1" a="1"/>
  <c r="U16" i="1" s="1"/>
  <c r="U17" i="1" a="1"/>
  <c r="U17" i="1" s="1"/>
  <c r="U10" i="1" a="1"/>
  <c r="U10" i="1" s="1"/>
  <c r="U11" i="1" a="1"/>
  <c r="U11" i="1" s="1"/>
  <c r="U9" i="1" a="1"/>
  <c r="U9" i="1" s="1"/>
  <c r="U7" i="1" a="1"/>
  <c r="U7" i="1" s="1"/>
  <c r="H33" i="5"/>
  <c r="L30" i="5"/>
  <c r="L33" i="5" s="1"/>
  <c r="K30" i="5"/>
  <c r="K33" i="5" s="1"/>
  <c r="I33" i="5"/>
  <c r="G33" i="5"/>
  <c r="E33" i="5"/>
  <c r="D33" i="5"/>
  <c r="C33" i="5"/>
  <c r="J33" i="5"/>
  <c r="B33" i="5"/>
  <c r="F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Nilo</author>
  </authors>
  <commentList>
    <comment ref="B7" authorId="0" shapeId="0" xr:uid="{AA76E53D-EF52-468C-991C-C5F28B192505}">
      <text>
        <r>
          <rPr>
            <b/>
            <sz val="9"/>
            <color indexed="81"/>
            <rFont val="Segoe UI"/>
            <family val="2"/>
          </rPr>
          <t>Nilo:</t>
        </r>
        <r>
          <rPr>
            <sz val="9"/>
            <color indexed="81"/>
            <rFont val="Segoe UI"/>
            <family val="2"/>
          </rPr>
          <t xml:space="preserve">
RANDOM FOREST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0A007F-3F8D-4C2F-BEFE-943D7A0C08A8}" keepAlive="1" name="Consulta - LOTOFACIL API" description="Conexão com a consulta 'LOTOFACIL API' na pasta de trabalho." type="5" refreshedVersion="8" background="1" saveData="1">
    <dbPr connection="Provider=Microsoft.Mashup.OleDb.1;Data Source=$Workbook$;Location=&quot;LOTOFACIL API&quot;;Extended Properties=&quot;&quot;" command="SELECT * FROM [LOTOFACIL API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<sst xmlns="http://schemas.openxmlformats.org/spreadsheetml/2006/main" count="37" uniqueCount="25">
  <si>
    <t>Como Conferir Lotofácil no Excel</t>
  </si>
  <si>
    <t>Bola</t>
  </si>
  <si>
    <t>Resultado</t>
  </si>
  <si>
    <t>Acertos</t>
  </si>
  <si>
    <t>Column1</t>
  </si>
  <si>
    <t>API</t>
  </si>
  <si>
    <t>https://servicebus2.caixa.gov.br/portaldeloterias/api/lotofacil</t>
  </si>
  <si>
    <t>GPTCLAUDEv2</t>
  </si>
  <si>
    <t xml:space="preserve">CONCURSO </t>
  </si>
  <si>
    <t>BACKTESTING</t>
  </si>
  <si>
    <t>RANDOM FOREST 86%</t>
  </si>
  <si>
    <t>ULTRA</t>
  </si>
  <si>
    <t>LSTM</t>
  </si>
  <si>
    <t>REDE NEURAL</t>
  </si>
  <si>
    <t>QUANT</t>
  </si>
  <si>
    <t>PADRÕES</t>
  </si>
  <si>
    <t>IA LF-Ensemble4</t>
  </si>
  <si>
    <t>DOIDERA PRED</t>
  </si>
  <si>
    <t>ROOT V3</t>
  </si>
  <si>
    <t>ROOT V1</t>
  </si>
  <si>
    <t>CHaos_otimizadoLF.</t>
  </si>
  <si>
    <t>LIMPEZA</t>
  </si>
  <si>
    <t>TOTAL</t>
  </si>
  <si>
    <t>GANHOS</t>
  </si>
  <si>
    <t>CHaos_otimizadoLF. ULTRA OTIMIZADA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</si>
</sst>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Segoe UI"/>
      <family val="2"/>
    </font>
    <font>
      <b/>
      <sz val="18"/>
      <color theme="0"/>
      <name val="Segoe UI"/>
      <family val="2"/>
    </font>
    <font>
      <sz val="8"/>
      <name val="Segoe UI"/>
      <family val="2"/>
    </font>
    <font>
      <b/>
      <sz val="11"/>
      <color theme="0"/>
      <name val="Segoe UI"/>
      <family val="2"/>
    </font>
    <font>
      <sz val="11"/>
      <color theme="0"/>
      <name val="Segoe UI"/>
      <family val="2"/>
    </font>
    <font>
      <u/>
      <sz val="11"/>
      <color theme="10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9">
    <xf numFmtId="0" fontId="0" fillId="0" borderId="0" xfId="0"/>
    <xf numFmtId="0" fontId="0" fillId="3" borderId="0" xfId="0" applyFill="1"/>
    <xf numFmtId="0" fontId="1" fillId="2" borderId="0" xfId="0" applyFont="1" applyFill="1" applyAlignment="1">
      <alignment vertical="center"/>
    </xf>
    <xf numFmtId="0" fontId="0" fillId="0" borderId="1" xfId="0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0" fillId="0" borderId="1" xfId="0" applyBorder="1"/>
    <xf numFmtId="0" fontId="3" fillId="5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5" fillId="0" borderId="0" xfId="1"/>
    <xf numFmtId="0" fontId="0" fillId="0" borderId="0" xfId="0" applyAlignment="1"/>
    <xf numFmtId="0" fontId="0" fillId="0" borderId="0" xfId="0" applyAlignment="1">
      <alignment horizontal="center"/>
    </xf>
    <xf numFmtId="0" fontId="0" fillId="6" borderId="2" xfId="0" applyFill="1" applyBorder="1" applyAlignment="1">
      <alignment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2" fontId="0" fillId="0" borderId="0" xfId="0" applyNumberFormat="1"/>
    <xf numFmtId="0" fontId="3" fillId="5" borderId="0" xfId="0" applyFont="1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2"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16</xdr:row>
      <xdr:rowOff>0</xdr:rowOff>
    </xdr:from>
    <xdr:to>
      <xdr:col>14</xdr:col>
      <xdr:colOff>638175</xdr:colOff>
      <xdr:row>18</xdr:row>
      <xdr:rowOff>200025</xdr:rowOff>
    </xdr:to>
    <xdr:pic macro="[0]!LIMPEZA">
      <xdr:nvPicPr>
        <xdr:cNvPr id="3" name="Gráfico 2" descr="Seta circular com preenchimento sólido">
          <a:extLst>
            <a:ext uri="{FF2B5EF4-FFF2-40B4-BE49-F238E27FC236}">
              <a16:creationId xmlns:a16="http://schemas.microsoft.com/office/drawing/2014/main" id="{FE7C6326-41B7-756B-EECB-551B5747A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772650" y="3352800"/>
          <a:ext cx="619125" cy="6191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" xr16:uid="{DA56C479-D0BA-4447-93F9-C3CC34D0AE64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50B132-2278-44BB-B5BA-243A565C212A}" name="LOTOFACIL_API" displayName="LOTOFACIL_API" ref="A1:A16" tableType="queryTable" totalsRowShown="0">
  <autoFilter ref="A1:A16" xr:uid="{A850B132-2278-44BB-B5BA-243A565C212A}"/>
  <tableColumns count="1">
    <tableColumn id="1" xr3:uid="{EEDF892F-1FE0-4246-B448-BEEFEEF78D88}" uniqueName="1" name="Column1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ervicebus2.caixa.gov.br/portaldeloterias/api/lotofacil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A39E6-358F-497F-B6EF-6008C9CA043B}">
  <sheetPr codeName="Planilha1"/>
  <dimension ref="A1:V19"/>
  <sheetViews>
    <sheetView showGridLines="0" zoomScale="120" zoomScaleNormal="120" workbookViewId="0">
      <selection activeCell="A25" sqref="A25"/>
    </sheetView>
  </sheetViews>
  <sheetFormatPr defaultRowHeight="16.5" x14ac:dyDescent="0.3"/>
  <cols>
    <col min="1" max="1" width="38.125" customWidth="1"/>
    <col min="2" max="19" width="3.5" customWidth="1"/>
    <col min="20" max="20" width="4.25" customWidth="1"/>
    <col min="22" max="22" width="14.125" bestFit="1" customWidth="1"/>
  </cols>
  <sheetData>
    <row r="1" spans="1:22" s="2" customFormat="1" ht="35.25" customHeight="1" x14ac:dyDescent="0.3">
      <c r="A1" s="2" t="s">
        <v>0</v>
      </c>
    </row>
    <row r="2" spans="1:22" s="1" customFormat="1" ht="9.75" customHeight="1" x14ac:dyDescent="0.3"/>
    <row r="4" spans="1:22" x14ac:dyDescent="0.3">
      <c r="A4" s="7" t="s">
        <v>1</v>
      </c>
      <c r="B4" s="7">
        <v>1</v>
      </c>
      <c r="C4" s="7">
        <v>2</v>
      </c>
      <c r="D4" s="7">
        <v>3</v>
      </c>
      <c r="E4" s="7">
        <v>4</v>
      </c>
      <c r="F4" s="7">
        <v>5</v>
      </c>
      <c r="G4" s="7">
        <v>6</v>
      </c>
      <c r="H4" s="7">
        <v>7</v>
      </c>
      <c r="I4" s="7">
        <v>8</v>
      </c>
      <c r="J4" s="7">
        <v>9</v>
      </c>
      <c r="K4" s="7">
        <v>10</v>
      </c>
      <c r="L4" s="7">
        <v>11</v>
      </c>
      <c r="M4" s="7">
        <v>12</v>
      </c>
      <c r="N4" s="7">
        <v>13</v>
      </c>
      <c r="O4" s="7">
        <v>14</v>
      </c>
      <c r="P4" s="7">
        <v>15</v>
      </c>
    </row>
    <row r="5" spans="1:22" x14ac:dyDescent="0.3">
      <c r="A5" s="6" t="s">
        <v>2</v>
      </c>
      <c r="B5" s="4">
        <f>API!C1</f>
        <v>1</v>
      </c>
      <c r="C5" s="4">
        <f>API!D1</f>
        <v>3</v>
      </c>
      <c r="D5" s="4">
        <f>API!E1</f>
        <v>5</v>
      </c>
      <c r="E5" s="4">
        <f>API!F1</f>
        <v>6</v>
      </c>
      <c r="F5" s="4">
        <f>API!G1</f>
        <v>7</v>
      </c>
      <c r="G5" s="4">
        <f>API!H1</f>
        <v>12</v>
      </c>
      <c r="H5" s="4">
        <f>API!I1</f>
        <v>14</v>
      </c>
      <c r="I5" s="4">
        <f>API!J1</f>
        <v>15</v>
      </c>
      <c r="J5" s="4">
        <f>API!K1</f>
        <v>17</v>
      </c>
      <c r="K5" s="4">
        <f>API!L1</f>
        <v>18</v>
      </c>
      <c r="L5" s="4">
        <f>API!M1</f>
        <v>19</v>
      </c>
      <c r="M5" s="4">
        <f>API!N1</f>
        <v>20</v>
      </c>
      <c r="N5" s="4">
        <f>API!O1</f>
        <v>22</v>
      </c>
      <c r="O5" s="4">
        <f>API!P1</f>
        <v>23</v>
      </c>
      <c r="P5" s="4">
        <f>API!Q1</f>
        <v>25</v>
      </c>
    </row>
    <row r="6" spans="1:22" x14ac:dyDescent="0.3">
      <c r="U6" s="6" t="s">
        <v>3</v>
      </c>
    </row>
    <row r="7" spans="1:22" x14ac:dyDescent="0.3">
      <c r="A7" s="6" t="s">
        <v>7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11</v>
      </c>
      <c r="I7" s="5">
        <v>12</v>
      </c>
      <c r="J7" s="5">
        <v>13</v>
      </c>
      <c r="K7" s="5">
        <v>14</v>
      </c>
      <c r="L7" s="5">
        <v>15</v>
      </c>
      <c r="M7" s="5">
        <v>17</v>
      </c>
      <c r="N7" s="5">
        <v>18</v>
      </c>
      <c r="O7" s="5">
        <v>20</v>
      </c>
      <c r="P7" s="5">
        <v>21</v>
      </c>
      <c r="Q7" s="5">
        <v>23</v>
      </c>
      <c r="R7" s="5">
        <v>24</v>
      </c>
      <c r="S7" s="5">
        <v>25</v>
      </c>
      <c r="U7" s="3" cm="1">
        <f t="array" ref="U7">SUM(COUNTIF($B$5:$P$5,B7:S7))</f>
        <v>12</v>
      </c>
    </row>
    <row r="8" spans="1:22" hidden="1" x14ac:dyDescent="0.3">
      <c r="A8" s="6" t="s">
        <v>10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U8" s="3" cm="1">
        <f t="array" ref="U8">SUM(COUNTIF($B$5:$P$5,B8:S8))</f>
        <v>0</v>
      </c>
    </row>
    <row r="9" spans="1:22" x14ac:dyDescent="0.3">
      <c r="A9" s="6" t="s">
        <v>11</v>
      </c>
      <c r="B9" s="5">
        <v>2</v>
      </c>
      <c r="C9" s="5">
        <v>4</v>
      </c>
      <c r="D9" s="5">
        <v>6</v>
      </c>
      <c r="E9" s="5">
        <v>8</v>
      </c>
      <c r="F9" s="5">
        <v>9</v>
      </c>
      <c r="G9" s="5">
        <v>10</v>
      </c>
      <c r="H9" s="5">
        <v>11</v>
      </c>
      <c r="I9" s="5">
        <v>12</v>
      </c>
      <c r="J9" s="5">
        <v>13</v>
      </c>
      <c r="K9" s="5">
        <v>15</v>
      </c>
      <c r="L9" s="5">
        <v>16</v>
      </c>
      <c r="M9" s="5">
        <v>17</v>
      </c>
      <c r="N9" s="5">
        <v>18</v>
      </c>
      <c r="O9" s="5">
        <v>19</v>
      </c>
      <c r="P9" s="5">
        <v>22</v>
      </c>
      <c r="Q9" s="5">
        <v>23</v>
      </c>
      <c r="R9" s="5">
        <v>24</v>
      </c>
      <c r="S9" s="5">
        <v>25</v>
      </c>
      <c r="U9" s="3" cm="1">
        <f t="array" ref="U9">SUM(COUNTIF($B$5:$P$5,B9:S9))</f>
        <v>9</v>
      </c>
    </row>
    <row r="10" spans="1:22" hidden="1" x14ac:dyDescent="0.3">
      <c r="A10" s="6" t="s">
        <v>12</v>
      </c>
      <c r="B10" s="5">
        <v>2</v>
      </c>
      <c r="C10" s="5">
        <v>3</v>
      </c>
      <c r="D10" s="5">
        <v>5</v>
      </c>
      <c r="E10" s="5">
        <v>7</v>
      </c>
      <c r="F10" s="5">
        <v>8</v>
      </c>
      <c r="G10" s="5">
        <v>10</v>
      </c>
      <c r="H10" s="5">
        <v>11</v>
      </c>
      <c r="I10" s="5">
        <v>13</v>
      </c>
      <c r="J10" s="5">
        <v>15</v>
      </c>
      <c r="K10" s="5">
        <v>16</v>
      </c>
      <c r="L10" s="5">
        <v>18</v>
      </c>
      <c r="M10" s="5">
        <v>20</v>
      </c>
      <c r="N10" s="5">
        <v>21</v>
      </c>
      <c r="O10" s="5">
        <v>23</v>
      </c>
      <c r="P10" s="5">
        <v>24</v>
      </c>
      <c r="Q10" s="5">
        <v>1</v>
      </c>
      <c r="R10" s="5">
        <v>4</v>
      </c>
      <c r="S10" s="5">
        <v>6</v>
      </c>
      <c r="U10" s="3" cm="1">
        <f t="array" ref="U10">SUM(COUNTIF($B$5:$P$5,B10:S10))</f>
        <v>9</v>
      </c>
      <c r="V10" s="11" t="s">
        <v>17</v>
      </c>
    </row>
    <row r="11" spans="1:22" hidden="1" x14ac:dyDescent="0.3">
      <c r="A11" s="6" t="s">
        <v>13</v>
      </c>
      <c r="B11" s="5">
        <v>13</v>
      </c>
      <c r="C11" s="5">
        <v>24</v>
      </c>
      <c r="D11" s="5">
        <v>1</v>
      </c>
      <c r="E11" s="5">
        <v>12</v>
      </c>
      <c r="F11" s="5">
        <v>22</v>
      </c>
      <c r="G11" s="5">
        <v>19</v>
      </c>
      <c r="H11" s="5">
        <v>21</v>
      </c>
      <c r="I11" s="5">
        <v>15</v>
      </c>
      <c r="J11" s="5">
        <v>17</v>
      </c>
      <c r="K11" s="5">
        <v>20</v>
      </c>
      <c r="L11" s="5">
        <v>10</v>
      </c>
      <c r="M11" s="5">
        <v>6</v>
      </c>
      <c r="N11" s="5">
        <v>25</v>
      </c>
      <c r="O11" s="5">
        <v>11</v>
      </c>
      <c r="P11" s="5">
        <v>14</v>
      </c>
      <c r="Q11" s="5">
        <v>3</v>
      </c>
      <c r="R11" s="5">
        <v>2</v>
      </c>
      <c r="S11" s="5">
        <v>4</v>
      </c>
      <c r="U11" s="3" cm="1">
        <f t="array" ref="U11">SUM(COUNTIF($B$5:$P$5,B11:S11))</f>
        <v>11</v>
      </c>
      <c r="V11" s="11"/>
    </row>
    <row r="12" spans="1:22" hidden="1" x14ac:dyDescent="0.3">
      <c r="A12" s="6" t="s">
        <v>14</v>
      </c>
      <c r="B12" s="5">
        <v>1</v>
      </c>
      <c r="C12" s="5">
        <v>2</v>
      </c>
      <c r="D12" s="5">
        <v>3</v>
      </c>
      <c r="E12" s="5">
        <v>4</v>
      </c>
      <c r="F12" s="5">
        <v>5</v>
      </c>
      <c r="G12" s="5">
        <v>8</v>
      </c>
      <c r="H12" s="5">
        <v>10</v>
      </c>
      <c r="I12" s="5">
        <v>11</v>
      </c>
      <c r="J12" s="5">
        <v>12</v>
      </c>
      <c r="K12" s="5">
        <v>13</v>
      </c>
      <c r="L12" s="5">
        <v>14</v>
      </c>
      <c r="M12" s="5">
        <v>17</v>
      </c>
      <c r="N12" s="5">
        <v>18</v>
      </c>
      <c r="O12" s="5">
        <v>19</v>
      </c>
      <c r="P12" s="5">
        <v>20</v>
      </c>
      <c r="Q12" s="5">
        <v>23</v>
      </c>
      <c r="R12" s="5">
        <v>24</v>
      </c>
      <c r="S12" s="5">
        <v>25</v>
      </c>
      <c r="U12" s="3" cm="1">
        <f t="array" ref="U12">SUM(COUNTIF($B$5:$P$5,B12:S12))</f>
        <v>11</v>
      </c>
      <c r="V12" s="11"/>
    </row>
    <row r="13" spans="1:22" hidden="1" x14ac:dyDescent="0.3">
      <c r="A13" s="6" t="s">
        <v>15</v>
      </c>
      <c r="B13" s="5">
        <v>2</v>
      </c>
      <c r="C13" s="5">
        <v>25</v>
      </c>
      <c r="D13" s="5">
        <v>11</v>
      </c>
      <c r="E13" s="5">
        <v>13</v>
      </c>
      <c r="F13" s="5">
        <v>1</v>
      </c>
      <c r="G13" s="5">
        <v>7</v>
      </c>
      <c r="H13" s="5">
        <v>15</v>
      </c>
      <c r="I13" s="5">
        <v>23</v>
      </c>
      <c r="J13" s="5">
        <v>4</v>
      </c>
      <c r="K13" s="5">
        <v>18</v>
      </c>
      <c r="L13" s="5">
        <v>5</v>
      </c>
      <c r="M13" s="5">
        <v>9</v>
      </c>
      <c r="N13" s="5">
        <v>22</v>
      </c>
      <c r="O13" s="5">
        <v>20</v>
      </c>
      <c r="P13" s="5">
        <v>21</v>
      </c>
      <c r="Q13" s="5">
        <v>24</v>
      </c>
      <c r="R13" s="5">
        <v>3</v>
      </c>
      <c r="S13" s="5">
        <v>6</v>
      </c>
      <c r="U13" s="3" cm="1">
        <f t="array" ref="U13">SUM(COUNTIF($B$5:$P$5,B13:S13))</f>
        <v>11</v>
      </c>
      <c r="V13" s="11"/>
    </row>
    <row r="14" spans="1:22" x14ac:dyDescent="0.3">
      <c r="A14" s="6" t="s">
        <v>16</v>
      </c>
      <c r="B14" s="5">
        <v>1</v>
      </c>
      <c r="C14" s="5">
        <v>4</v>
      </c>
      <c r="D14" s="5">
        <v>5</v>
      </c>
      <c r="E14" s="5">
        <v>7</v>
      </c>
      <c r="F14" s="5">
        <v>8</v>
      </c>
      <c r="G14" s="5">
        <v>9</v>
      </c>
      <c r="H14" s="5">
        <v>11</v>
      </c>
      <c r="I14" s="5">
        <v>13</v>
      </c>
      <c r="J14" s="5">
        <v>14</v>
      </c>
      <c r="K14" s="5">
        <v>15</v>
      </c>
      <c r="L14" s="5">
        <v>16</v>
      </c>
      <c r="M14" s="5">
        <v>17</v>
      </c>
      <c r="N14" s="5">
        <v>18</v>
      </c>
      <c r="O14" s="5">
        <v>19</v>
      </c>
      <c r="P14" s="5">
        <v>20</v>
      </c>
      <c r="Q14" s="5">
        <v>22</v>
      </c>
      <c r="R14" s="5">
        <v>23</v>
      </c>
      <c r="S14" s="5">
        <v>25</v>
      </c>
      <c r="U14" s="3" cm="1">
        <f t="array" ref="U14">SUM(COUNTIF($B$5:$P$5,B14:S14))</f>
        <v>12</v>
      </c>
    </row>
    <row r="15" spans="1:22" x14ac:dyDescent="0.3">
      <c r="A15" s="6" t="s">
        <v>18</v>
      </c>
      <c r="B15" s="5">
        <v>1</v>
      </c>
      <c r="C15" s="5">
        <v>2</v>
      </c>
      <c r="D15" s="5">
        <v>3</v>
      </c>
      <c r="E15" s="5">
        <v>4</v>
      </c>
      <c r="F15" s="5">
        <v>5</v>
      </c>
      <c r="G15" s="5">
        <v>7</v>
      </c>
      <c r="H15" s="5">
        <v>9</v>
      </c>
      <c r="I15" s="5">
        <v>10</v>
      </c>
      <c r="J15" s="5">
        <v>11</v>
      </c>
      <c r="K15" s="5">
        <v>13</v>
      </c>
      <c r="L15" s="5">
        <v>14</v>
      </c>
      <c r="M15" s="5">
        <v>15</v>
      </c>
      <c r="N15" s="5">
        <v>16</v>
      </c>
      <c r="O15" s="5">
        <v>17</v>
      </c>
      <c r="P15" s="5">
        <v>20</v>
      </c>
      <c r="Q15" s="5">
        <v>22</v>
      </c>
      <c r="R15" s="5">
        <v>23</v>
      </c>
      <c r="S15" s="5">
        <v>25</v>
      </c>
      <c r="U15" s="3" cm="1">
        <f t="array" ref="U15">SUM(COUNTIF($B$5:$P$5,B15:S15))</f>
        <v>11</v>
      </c>
    </row>
    <row r="16" spans="1:22" hidden="1" x14ac:dyDescent="0.3">
      <c r="A16" s="6" t="s">
        <v>19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U16" s="3" cm="1">
        <f t="array" ref="U16">SUM(COUNTIF($B$5:$P$5,B16:S16))</f>
        <v>0</v>
      </c>
    </row>
    <row r="17" spans="1:21" hidden="1" x14ac:dyDescent="0.3">
      <c r="A17" s="6" t="s">
        <v>24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U17" s="3" cm="1">
        <f t="array" ref="U17">SUM(COUNTIF($B$5:$P$5,B17:S17))</f>
        <v>0</v>
      </c>
    </row>
    <row r="18" spans="1:21" hidden="1" x14ac:dyDescent="0.3">
      <c r="A18" s="6" t="s">
        <v>20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U18" s="3" cm="1">
        <f t="array" ref="U18">SUM(COUNTIF($B$5:$P$5,B18:S18))</f>
        <v>0</v>
      </c>
    </row>
    <row r="19" spans="1:21" hidden="1" x14ac:dyDescent="0.3">
      <c r="A19" s="6" t="s">
        <v>20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U19" s="3" cm="1">
        <f t="array" ref="U19">SUM(COUNTIF($B$5:$P$5,B19:S19))</f>
        <v>0</v>
      </c>
    </row>
  </sheetData>
  <mergeCells count="1">
    <mergeCell ref="V10:V13"/>
  </mergeCells>
  <phoneticPr fontId="2" type="noConversion"/>
  <conditionalFormatting sqref="B7:S17">
    <cfRule type="expression" dxfId="1" priority="3">
      <formula>COUNTIF($B$5:$P$5,B7)&gt;0</formula>
    </cfRule>
  </conditionalFormatting>
  <conditionalFormatting sqref="B18:S19">
    <cfRule type="expression" dxfId="0" priority="1">
      <formula>COUNTIF($B$5:$P$5,B18)&gt;0</formula>
    </cfRule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498D8-51EB-44B8-9FCE-3F0209E6DF69}">
  <sheetPr codeName="Planilha2"/>
  <dimension ref="A1:Q33"/>
  <sheetViews>
    <sheetView tabSelected="1" workbookViewId="0">
      <selection activeCell="O6" sqref="O6"/>
    </sheetView>
  </sheetViews>
  <sheetFormatPr defaultRowHeight="16.5" x14ac:dyDescent="0.3"/>
  <cols>
    <col min="1" max="1" width="11.75" style="10" bestFit="1" customWidth="1"/>
    <col min="2" max="2" width="14.5" bestFit="1" customWidth="1"/>
    <col min="3" max="3" width="22" hidden="1" customWidth="1"/>
    <col min="4" max="4" width="8.25" bestFit="1" customWidth="1"/>
    <col min="5" max="5" width="8.25" hidden="1" customWidth="1"/>
    <col min="6" max="6" width="14.125" hidden="1" customWidth="1"/>
    <col min="7" max="7" width="8.25" hidden="1" customWidth="1"/>
    <col min="8" max="8" width="9.875" hidden="1" customWidth="1"/>
    <col min="9" max="9" width="16.25" bestFit="1" customWidth="1"/>
    <col min="10" max="10" width="9.375" bestFit="1" customWidth="1"/>
    <col min="11" max="11" width="9.375" hidden="1" customWidth="1"/>
    <col min="12" max="12" width="19.125" hidden="1" customWidth="1"/>
  </cols>
  <sheetData>
    <row r="1" spans="1:17" x14ac:dyDescent="0.3">
      <c r="A1" s="12" t="s">
        <v>9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9"/>
      <c r="N1" s="9"/>
      <c r="O1" s="9"/>
      <c r="P1" s="9"/>
      <c r="Q1" s="9"/>
    </row>
    <row r="2" spans="1:17" x14ac:dyDescent="0.3">
      <c r="A2" s="13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</row>
    <row r="3" spans="1:17" x14ac:dyDescent="0.3">
      <c r="A3" s="6" t="s">
        <v>8</v>
      </c>
      <c r="B3" s="6" t="s">
        <v>7</v>
      </c>
      <c r="C3" s="6" t="s">
        <v>10</v>
      </c>
      <c r="D3" s="6" t="s">
        <v>11</v>
      </c>
      <c r="E3" s="6" t="s">
        <v>12</v>
      </c>
      <c r="F3" s="6" t="s">
        <v>13</v>
      </c>
      <c r="G3" s="6" t="s">
        <v>14</v>
      </c>
      <c r="H3" s="6" t="s">
        <v>15</v>
      </c>
      <c r="I3" s="6" t="s">
        <v>16</v>
      </c>
      <c r="J3" s="6" t="s">
        <v>18</v>
      </c>
      <c r="K3" s="6" t="s">
        <v>19</v>
      </c>
      <c r="L3" s="6" t="s">
        <v>20</v>
      </c>
    </row>
    <row r="4" spans="1:17" x14ac:dyDescent="0.3">
      <c r="B4" s="10"/>
      <c r="C4" s="10"/>
      <c r="D4" s="10"/>
      <c r="E4" s="10"/>
      <c r="F4" s="10"/>
      <c r="G4" s="10"/>
      <c r="H4" s="10"/>
      <c r="I4" s="10"/>
      <c r="J4" s="10"/>
      <c r="K4" s="18"/>
      <c r="L4" s="18"/>
    </row>
    <row r="5" spans="1:17" x14ac:dyDescent="0.3">
      <c r="A5" s="10">
        <v>3459</v>
      </c>
      <c r="B5" s="10">
        <v>12</v>
      </c>
      <c r="C5" s="10">
        <v>0</v>
      </c>
      <c r="D5" s="10">
        <v>9</v>
      </c>
      <c r="E5" s="10">
        <v>9</v>
      </c>
      <c r="F5" s="10">
        <v>11</v>
      </c>
      <c r="G5" s="10">
        <v>11</v>
      </c>
      <c r="H5" s="10">
        <v>11</v>
      </c>
      <c r="I5" s="10">
        <v>12</v>
      </c>
      <c r="J5" s="10">
        <v>11</v>
      </c>
      <c r="K5" s="18"/>
      <c r="L5" s="18"/>
    </row>
    <row r="6" spans="1:17" x14ac:dyDescent="0.3">
      <c r="A6" s="10">
        <v>3458</v>
      </c>
      <c r="B6" s="10">
        <v>10</v>
      </c>
      <c r="C6" s="10">
        <v>8</v>
      </c>
      <c r="D6" s="10">
        <v>9</v>
      </c>
      <c r="E6" s="10">
        <v>12</v>
      </c>
      <c r="F6" s="10">
        <v>11</v>
      </c>
      <c r="G6" s="10">
        <v>11</v>
      </c>
      <c r="H6" s="10">
        <v>11</v>
      </c>
      <c r="I6" s="10">
        <v>12</v>
      </c>
      <c r="J6" s="10">
        <v>11</v>
      </c>
      <c r="K6" s="10">
        <v>12</v>
      </c>
      <c r="L6" s="10"/>
    </row>
    <row r="7" spans="1:17" x14ac:dyDescent="0.3">
      <c r="A7" s="10">
        <v>3457</v>
      </c>
      <c r="B7" s="10">
        <v>13</v>
      </c>
      <c r="C7" s="10">
        <v>11</v>
      </c>
      <c r="D7" s="10">
        <v>13</v>
      </c>
      <c r="E7" s="10">
        <v>9</v>
      </c>
      <c r="F7" s="10">
        <v>11</v>
      </c>
      <c r="G7" s="10">
        <v>12</v>
      </c>
      <c r="H7" s="10">
        <v>11</v>
      </c>
      <c r="I7" s="10">
        <v>12</v>
      </c>
      <c r="J7" s="10">
        <v>12</v>
      </c>
      <c r="K7" s="10">
        <v>11</v>
      </c>
      <c r="L7" s="10">
        <v>0</v>
      </c>
    </row>
    <row r="8" spans="1:17" x14ac:dyDescent="0.3">
      <c r="A8" s="10">
        <v>3456</v>
      </c>
      <c r="B8" s="10">
        <v>10</v>
      </c>
      <c r="C8" s="10">
        <v>11</v>
      </c>
      <c r="D8" s="10">
        <v>10</v>
      </c>
      <c r="E8" s="10">
        <v>12</v>
      </c>
      <c r="F8" s="10">
        <v>10</v>
      </c>
      <c r="G8" s="10">
        <v>11</v>
      </c>
      <c r="H8" s="10">
        <v>12</v>
      </c>
      <c r="I8" s="10">
        <v>13</v>
      </c>
      <c r="J8" s="10">
        <v>12</v>
      </c>
      <c r="K8" s="10">
        <v>12</v>
      </c>
      <c r="L8" s="10"/>
    </row>
    <row r="9" spans="1:17" x14ac:dyDescent="0.3">
      <c r="A9" s="10">
        <v>3455</v>
      </c>
      <c r="B9" s="10">
        <v>12</v>
      </c>
      <c r="C9" s="10">
        <v>12</v>
      </c>
      <c r="D9" s="10">
        <v>11</v>
      </c>
      <c r="E9" s="10">
        <v>10</v>
      </c>
      <c r="F9" s="10">
        <v>10</v>
      </c>
      <c r="G9" s="10">
        <v>13</v>
      </c>
      <c r="H9" s="10">
        <v>10</v>
      </c>
      <c r="I9" s="10">
        <v>11</v>
      </c>
      <c r="J9" s="10">
        <v>12</v>
      </c>
      <c r="K9" s="10">
        <v>10</v>
      </c>
      <c r="L9" s="10"/>
    </row>
    <row r="10" spans="1:17" x14ac:dyDescent="0.3">
      <c r="A10" s="10">
        <v>3454</v>
      </c>
      <c r="B10" s="10">
        <v>11</v>
      </c>
      <c r="C10" s="10">
        <v>11</v>
      </c>
      <c r="D10" s="10">
        <v>11</v>
      </c>
      <c r="E10" s="10">
        <v>10</v>
      </c>
      <c r="F10" s="10">
        <v>12</v>
      </c>
      <c r="G10" s="10">
        <v>10</v>
      </c>
      <c r="H10" s="10">
        <v>11</v>
      </c>
      <c r="I10" s="10">
        <v>11</v>
      </c>
      <c r="J10" s="10">
        <v>10</v>
      </c>
      <c r="K10" s="10">
        <v>11</v>
      </c>
      <c r="L10" s="10">
        <v>0</v>
      </c>
    </row>
    <row r="11" spans="1:17" x14ac:dyDescent="0.3">
      <c r="A11" s="10">
        <v>3453</v>
      </c>
      <c r="B11" s="10">
        <v>12</v>
      </c>
      <c r="C11" s="10">
        <v>11</v>
      </c>
      <c r="D11" s="10">
        <v>14</v>
      </c>
      <c r="E11" s="10">
        <v>11</v>
      </c>
      <c r="F11" s="10">
        <v>12</v>
      </c>
      <c r="G11" s="10">
        <v>11</v>
      </c>
      <c r="H11" s="10">
        <v>12</v>
      </c>
      <c r="I11" s="10">
        <v>12</v>
      </c>
      <c r="J11" s="10">
        <v>11</v>
      </c>
      <c r="K11" s="10">
        <v>10</v>
      </c>
      <c r="L11" s="10"/>
    </row>
    <row r="12" spans="1:17" x14ac:dyDescent="0.3">
      <c r="A12" s="10">
        <v>3452</v>
      </c>
      <c r="B12" s="10">
        <v>12</v>
      </c>
      <c r="C12" s="10">
        <v>11</v>
      </c>
      <c r="D12" s="10">
        <v>13</v>
      </c>
      <c r="E12" s="10">
        <v>11</v>
      </c>
      <c r="F12" s="10">
        <v>11</v>
      </c>
      <c r="G12" s="10">
        <v>10</v>
      </c>
      <c r="H12" s="10">
        <v>11</v>
      </c>
      <c r="I12" s="10">
        <v>11</v>
      </c>
      <c r="J12" s="10">
        <v>12</v>
      </c>
      <c r="K12" s="10">
        <v>11</v>
      </c>
      <c r="L12" s="10"/>
    </row>
    <row r="13" spans="1:17" x14ac:dyDescent="0.3">
      <c r="A13" s="10">
        <v>3451</v>
      </c>
      <c r="B13" s="10">
        <v>10</v>
      </c>
      <c r="C13" s="10">
        <v>10</v>
      </c>
      <c r="D13" s="10">
        <v>10</v>
      </c>
      <c r="E13" s="10">
        <v>9</v>
      </c>
      <c r="F13" s="10">
        <v>11</v>
      </c>
      <c r="G13" s="10">
        <v>11</v>
      </c>
      <c r="H13" s="10">
        <v>9</v>
      </c>
      <c r="I13" s="10">
        <v>10</v>
      </c>
      <c r="J13" s="10">
        <v>12</v>
      </c>
      <c r="K13" s="10">
        <v>12</v>
      </c>
      <c r="L13" s="10"/>
    </row>
    <row r="14" spans="1:17" x14ac:dyDescent="0.3">
      <c r="A14" s="10">
        <v>3450</v>
      </c>
      <c r="B14" s="10">
        <v>10</v>
      </c>
      <c r="C14" s="10">
        <v>12</v>
      </c>
      <c r="D14" s="10">
        <v>14</v>
      </c>
      <c r="E14" s="10">
        <v>12</v>
      </c>
      <c r="F14" s="10">
        <v>11</v>
      </c>
      <c r="G14" s="10">
        <v>11</v>
      </c>
      <c r="H14" s="10">
        <v>11</v>
      </c>
      <c r="I14" s="10">
        <v>11</v>
      </c>
      <c r="J14" s="10">
        <v>11</v>
      </c>
      <c r="K14" s="10">
        <v>11</v>
      </c>
      <c r="L14" s="10">
        <v>0</v>
      </c>
    </row>
    <row r="15" spans="1:17" x14ac:dyDescent="0.3">
      <c r="A15" s="10">
        <v>3449</v>
      </c>
      <c r="B15" s="10">
        <v>11</v>
      </c>
      <c r="C15" s="10">
        <v>11</v>
      </c>
      <c r="D15" s="10">
        <v>10</v>
      </c>
      <c r="E15" s="10">
        <v>13</v>
      </c>
      <c r="F15" s="10">
        <v>11</v>
      </c>
      <c r="G15" s="10">
        <v>11</v>
      </c>
      <c r="H15" s="10">
        <v>11</v>
      </c>
      <c r="I15" s="10">
        <v>11</v>
      </c>
      <c r="J15" s="10">
        <v>10</v>
      </c>
      <c r="K15" s="10">
        <v>10</v>
      </c>
      <c r="L15" s="10">
        <v>11</v>
      </c>
    </row>
    <row r="16" spans="1:17" x14ac:dyDescent="0.3">
      <c r="A16" s="10">
        <v>3448</v>
      </c>
      <c r="B16" s="10">
        <v>11</v>
      </c>
      <c r="C16" s="10">
        <v>0</v>
      </c>
      <c r="D16" s="10">
        <v>11</v>
      </c>
      <c r="E16" s="10">
        <v>10</v>
      </c>
      <c r="F16" s="10">
        <v>11</v>
      </c>
      <c r="G16" s="10">
        <v>9</v>
      </c>
      <c r="H16" s="10">
        <v>11</v>
      </c>
      <c r="I16" s="10">
        <v>11</v>
      </c>
      <c r="J16" s="10">
        <v>12</v>
      </c>
      <c r="K16" s="10"/>
      <c r="L16" s="10"/>
    </row>
    <row r="17" spans="1:12" x14ac:dyDescent="0.3">
      <c r="A17" s="10">
        <v>3447</v>
      </c>
      <c r="B17" s="10">
        <v>11</v>
      </c>
      <c r="C17" s="10">
        <v>0</v>
      </c>
      <c r="D17" s="10">
        <v>11</v>
      </c>
      <c r="E17" s="10">
        <v>10</v>
      </c>
      <c r="F17" s="10">
        <v>10</v>
      </c>
      <c r="G17" s="10">
        <v>9</v>
      </c>
      <c r="H17" s="10">
        <v>10</v>
      </c>
      <c r="I17" s="10">
        <v>11</v>
      </c>
      <c r="J17" s="10">
        <v>11</v>
      </c>
      <c r="K17" s="10"/>
      <c r="L17" s="10"/>
    </row>
    <row r="18" spans="1:12" x14ac:dyDescent="0.3">
      <c r="A18" s="10">
        <v>3446</v>
      </c>
      <c r="B18" s="10">
        <v>12</v>
      </c>
      <c r="C18" s="10">
        <v>0</v>
      </c>
      <c r="D18" s="10">
        <v>11</v>
      </c>
      <c r="E18" s="10">
        <v>11</v>
      </c>
      <c r="F18" s="10">
        <v>10</v>
      </c>
      <c r="G18" s="10">
        <v>10</v>
      </c>
      <c r="H18" s="10">
        <v>11</v>
      </c>
      <c r="I18" s="10">
        <v>11</v>
      </c>
      <c r="J18" s="10">
        <v>11</v>
      </c>
      <c r="K18" s="10"/>
      <c r="L18" s="10"/>
    </row>
    <row r="19" spans="1:12" x14ac:dyDescent="0.3">
      <c r="A19" s="10">
        <v>3445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3">
      <c r="A20" s="10">
        <v>3444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3">
      <c r="A21" s="10">
        <v>3443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3">
      <c r="A22" s="10">
        <v>3442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2" x14ac:dyDescent="0.3">
      <c r="A23" s="10">
        <v>3441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2" x14ac:dyDescent="0.3">
      <c r="A24" s="10">
        <v>3440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2" x14ac:dyDescent="0.3">
      <c r="A25" s="10">
        <v>3439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</row>
    <row r="26" spans="1:12" x14ac:dyDescent="0.3">
      <c r="A26" s="10">
        <v>3438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1:12" x14ac:dyDescent="0.3">
      <c r="A27" s="10">
        <v>3437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x14ac:dyDescent="0.3">
      <c r="A28" s="10">
        <v>3436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</row>
    <row r="29" spans="1:12" x14ac:dyDescent="0.3">
      <c r="A29" s="10">
        <v>3435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</row>
    <row r="30" spans="1:12" x14ac:dyDescent="0.3">
      <c r="A30" s="12" t="s">
        <v>22</v>
      </c>
      <c r="B30" s="12">
        <f>SUM(B5:B29)</f>
        <v>157</v>
      </c>
      <c r="C30" s="12">
        <f t="shared" ref="C30:J30" si="0">SUM(C5:C29)</f>
        <v>108</v>
      </c>
      <c r="D30" s="12">
        <f t="shared" si="0"/>
        <v>157</v>
      </c>
      <c r="E30" s="12">
        <f t="shared" si="0"/>
        <v>149</v>
      </c>
      <c r="F30" s="12">
        <f t="shared" si="0"/>
        <v>152</v>
      </c>
      <c r="G30" s="12">
        <f t="shared" si="0"/>
        <v>150</v>
      </c>
      <c r="H30" s="12">
        <f t="shared" si="0"/>
        <v>152</v>
      </c>
      <c r="I30" s="12">
        <f t="shared" si="0"/>
        <v>159</v>
      </c>
      <c r="J30" s="12">
        <f t="shared" si="0"/>
        <v>158</v>
      </c>
      <c r="K30" s="12">
        <f t="shared" ref="K30:L30" si="1">SUM(K6:K29)</f>
        <v>110</v>
      </c>
      <c r="L30" s="12">
        <f t="shared" si="1"/>
        <v>11</v>
      </c>
    </row>
    <row r="31" spans="1:12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</row>
    <row r="32" spans="1:12" x14ac:dyDescent="0.3">
      <c r="A32" s="10" t="s">
        <v>23</v>
      </c>
      <c r="B32" s="10">
        <f t="shared" ref="B32:H32" si="2">COUNTIF(B5:B29,"&gt;11")</f>
        <v>6</v>
      </c>
      <c r="C32" s="10">
        <f t="shared" si="2"/>
        <v>2</v>
      </c>
      <c r="D32" s="10">
        <f t="shared" si="2"/>
        <v>4</v>
      </c>
      <c r="E32" s="10">
        <f t="shared" si="2"/>
        <v>4</v>
      </c>
      <c r="F32" s="10">
        <f t="shared" si="2"/>
        <v>2</v>
      </c>
      <c r="G32" s="10">
        <f t="shared" si="2"/>
        <v>2</v>
      </c>
      <c r="H32" s="10">
        <f t="shared" si="2"/>
        <v>2</v>
      </c>
      <c r="I32" s="10">
        <f>COUNTIF(I5:I29,"&gt;11")</f>
        <v>5</v>
      </c>
      <c r="J32" s="10">
        <f t="shared" ref="J32:L32" si="3">COUNTIF(J5:J29,"&gt;11")</f>
        <v>6</v>
      </c>
      <c r="K32" s="10">
        <f t="shared" si="3"/>
        <v>3</v>
      </c>
      <c r="L32" s="10">
        <f t="shared" si="3"/>
        <v>0</v>
      </c>
    </row>
    <row r="33" spans="1:12" x14ac:dyDescent="0.3">
      <c r="A33" s="10">
        <v>210</v>
      </c>
      <c r="B33" s="17">
        <f>B30*100/$A$33</f>
        <v>74.761904761904759</v>
      </c>
      <c r="C33" s="17">
        <f t="shared" ref="C33:L33" si="4">C30*100/$A$33</f>
        <v>51.428571428571431</v>
      </c>
      <c r="D33" s="17">
        <f t="shared" si="4"/>
        <v>74.761904761904759</v>
      </c>
      <c r="E33" s="17">
        <f t="shared" si="4"/>
        <v>70.952380952380949</v>
      </c>
      <c r="F33" s="17">
        <f t="shared" si="4"/>
        <v>72.38095238095238</v>
      </c>
      <c r="G33" s="17">
        <f t="shared" si="4"/>
        <v>71.428571428571431</v>
      </c>
      <c r="H33" s="17">
        <f t="shared" si="4"/>
        <v>72.38095238095238</v>
      </c>
      <c r="I33" s="17">
        <f t="shared" si="4"/>
        <v>75.714285714285708</v>
      </c>
      <c r="J33" s="17">
        <f t="shared" si="4"/>
        <v>75.238095238095241</v>
      </c>
      <c r="K33" s="17">
        <f t="shared" si="4"/>
        <v>52.38095238095238</v>
      </c>
      <c r="L33" s="17">
        <f t="shared" si="4"/>
        <v>5.2380952380952381</v>
      </c>
    </row>
  </sheetData>
  <mergeCells count="13">
    <mergeCell ref="A1:L2"/>
    <mergeCell ref="A30:A31"/>
    <mergeCell ref="B30:B31"/>
    <mergeCell ref="C30:C31"/>
    <mergeCell ref="D30:D31"/>
    <mergeCell ref="E30:E31"/>
    <mergeCell ref="F30:F31"/>
    <mergeCell ref="L30:L31"/>
    <mergeCell ref="G30:G31"/>
    <mergeCell ref="H30:H31"/>
    <mergeCell ref="I30:I31"/>
    <mergeCell ref="J30:J31"/>
    <mergeCell ref="K30:K31"/>
  </mergeCells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A8761-8B2D-4337-A4E6-977DE9A3504D}">
  <sheetPr codeName="Planilha3"/>
  <dimension ref="A1:X23"/>
  <sheetViews>
    <sheetView workbookViewId="0">
      <selection activeCell="G23" sqref="G23:X23"/>
    </sheetView>
  </sheetViews>
  <sheetFormatPr defaultRowHeight="16.5" x14ac:dyDescent="0.3"/>
  <cols>
    <col min="1" max="1" width="11" bestFit="1" customWidth="1"/>
  </cols>
  <sheetData>
    <row r="1" spans="1:17" x14ac:dyDescent="0.3">
      <c r="A1" t="s">
        <v>4</v>
      </c>
      <c r="C1" cm="1">
        <f t="array" ref="C1:Q1">TRANSPOSE(LOTOFACIL_API[Column1])</f>
        <v>1</v>
      </c>
      <c r="D1">
        <v>3</v>
      </c>
      <c r="E1">
        <v>5</v>
      </c>
      <c r="F1">
        <v>6</v>
      </c>
      <c r="G1">
        <v>7</v>
      </c>
      <c r="H1">
        <v>12</v>
      </c>
      <c r="I1">
        <v>14</v>
      </c>
      <c r="J1">
        <v>15</v>
      </c>
      <c r="K1">
        <v>17</v>
      </c>
      <c r="L1">
        <v>18</v>
      </c>
      <c r="M1">
        <v>19</v>
      </c>
      <c r="N1">
        <v>20</v>
      </c>
      <c r="O1">
        <v>22</v>
      </c>
      <c r="P1">
        <v>23</v>
      </c>
      <c r="Q1">
        <v>25</v>
      </c>
    </row>
    <row r="2" spans="1:17" x14ac:dyDescent="0.3">
      <c r="A2">
        <v>1</v>
      </c>
    </row>
    <row r="3" spans="1:17" x14ac:dyDescent="0.3">
      <c r="A3">
        <v>3</v>
      </c>
    </row>
    <row r="4" spans="1:17" x14ac:dyDescent="0.3">
      <c r="A4">
        <v>5</v>
      </c>
      <c r="D4" t="s">
        <v>5</v>
      </c>
    </row>
    <row r="5" spans="1:17" x14ac:dyDescent="0.3">
      <c r="A5">
        <v>6</v>
      </c>
      <c r="D5" s="8" t="s">
        <v>6</v>
      </c>
    </row>
    <row r="6" spans="1:17" x14ac:dyDescent="0.3">
      <c r="A6">
        <v>7</v>
      </c>
    </row>
    <row r="7" spans="1:17" x14ac:dyDescent="0.3">
      <c r="A7">
        <v>12</v>
      </c>
    </row>
    <row r="8" spans="1:17" x14ac:dyDescent="0.3">
      <c r="A8">
        <v>14</v>
      </c>
    </row>
    <row r="9" spans="1:17" x14ac:dyDescent="0.3">
      <c r="A9">
        <v>15</v>
      </c>
    </row>
    <row r="10" spans="1:17" x14ac:dyDescent="0.3">
      <c r="A10">
        <v>17</v>
      </c>
    </row>
    <row r="11" spans="1:17" x14ac:dyDescent="0.3">
      <c r="A11">
        <v>18</v>
      </c>
    </row>
    <row r="12" spans="1:17" x14ac:dyDescent="0.3">
      <c r="A12">
        <v>19</v>
      </c>
    </row>
    <row r="13" spans="1:17" x14ac:dyDescent="0.3">
      <c r="A13">
        <v>20</v>
      </c>
    </row>
    <row r="14" spans="1:17" x14ac:dyDescent="0.3">
      <c r="A14">
        <v>22</v>
      </c>
    </row>
    <row r="15" spans="1:17" x14ac:dyDescent="0.3">
      <c r="A15">
        <v>23</v>
      </c>
    </row>
    <row r="16" spans="1:17" x14ac:dyDescent="0.3">
      <c r="A16">
        <v>25</v>
      </c>
    </row>
    <row r="17" spans="7:24" x14ac:dyDescent="0.3">
      <c r="M17" s="16" t="s">
        <v>21</v>
      </c>
      <c r="N17" s="16"/>
      <c r="O17" s="16"/>
    </row>
    <row r="18" spans="7:24" x14ac:dyDescent="0.3">
      <c r="M18" s="16"/>
      <c r="N18" s="16"/>
      <c r="O18" s="16"/>
    </row>
    <row r="19" spans="7:24" x14ac:dyDescent="0.3">
      <c r="M19" s="16"/>
      <c r="N19" s="16"/>
      <c r="O19" s="16"/>
    </row>
    <row r="23" spans="7:24" x14ac:dyDescent="0.3">
      <c r="G23">
        <v>1</v>
      </c>
      <c r="H23">
        <v>2</v>
      </c>
      <c r="I23">
        <v>3</v>
      </c>
      <c r="J23">
        <v>4</v>
      </c>
      <c r="K23">
        <v>5</v>
      </c>
      <c r="L23">
        <v>8</v>
      </c>
      <c r="M23">
        <v>10</v>
      </c>
      <c r="N23">
        <v>11</v>
      </c>
      <c r="O23">
        <v>12</v>
      </c>
      <c r="P23">
        <v>13</v>
      </c>
      <c r="Q23">
        <v>14</v>
      </c>
      <c r="R23">
        <v>17</v>
      </c>
      <c r="S23">
        <v>18</v>
      </c>
      <c r="T23">
        <v>19</v>
      </c>
      <c r="U23">
        <v>20</v>
      </c>
      <c r="V23">
        <v>23</v>
      </c>
      <c r="W23">
        <v>24</v>
      </c>
      <c r="X23">
        <v>25</v>
      </c>
    </row>
  </sheetData>
  <mergeCells count="1">
    <mergeCell ref="M17:O19"/>
  </mergeCells>
  <hyperlinks>
    <hyperlink ref="D5" r:id="rId1" xr:uid="{9226A33D-EE6F-4828-A2F8-C00BCE4650C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4F40A1A-BD68-4D87-829B-E69C92F0AD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Conferidor</vt:lpstr>
      <vt:lpstr>historico </vt:lpstr>
      <vt:lpstr>API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Fabiano</dc:creator>
  <cp:lastModifiedBy>Nilo</cp:lastModifiedBy>
  <dcterms:created xsi:type="dcterms:W3CDTF">2024-09-24T20:04:27Z</dcterms:created>
  <dcterms:modified xsi:type="dcterms:W3CDTF">2025-08-04T02:39:34Z</dcterms:modified>
</cp:coreProperties>
</file>